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x/Documents/GitHub/rise-controller/5 - Experimental Data/july_14_2026_water_bottle/"/>
    </mc:Choice>
  </mc:AlternateContent>
  <xr:revisionPtr revIDLastSave="0" documentId="13_ncr:1_{B5578C68-963D-B547-AEF5-CE0004DFBFA2}" xr6:coauthVersionLast="47" xr6:coauthVersionMax="47" xr10:uidLastSave="{00000000-0000-0000-0000-000000000000}"/>
  <bookViews>
    <workbookView xWindow="0" yWindow="780" windowWidth="24040" windowHeight="20800" xr2:uid="{00000000-000D-0000-FFFF-FFFF00000000}"/>
  </bookViews>
  <sheets>
    <sheet name="July 14" sheetId="1" r:id="rId1"/>
    <sheet name="Summar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G11" i="1"/>
  <c r="H11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  <c r="H4" i="1"/>
  <c r="G4" i="1"/>
  <c r="F4" i="1"/>
  <c r="H3" i="1"/>
  <c r="G3" i="1"/>
  <c r="F3" i="1"/>
  <c r="H2" i="1"/>
  <c r="G2" i="1"/>
  <c r="F2" i="1"/>
</calcChain>
</file>

<file path=xl/sharedStrings.xml><?xml version="1.0" encoding="utf-8"?>
<sst xmlns="http://schemas.openxmlformats.org/spreadsheetml/2006/main" count="47" uniqueCount="27">
  <si>
    <t>Controller</t>
  </si>
  <si>
    <t>k_1</t>
  </si>
  <si>
    <t>k_2</t>
  </si>
  <si>
    <t>k_3</t>
  </si>
  <si>
    <t>K_P</t>
  </si>
  <si>
    <t>K_I</t>
  </si>
  <si>
    <t>K_D</t>
  </si>
  <si>
    <t>k_rise</t>
  </si>
  <si>
    <t>gamma</t>
  </si>
  <si>
    <t>sigma_mod</t>
  </si>
  <si>
    <t>cost</t>
  </si>
  <si>
    <t>Notes</t>
  </si>
  <si>
    <t>IntegratedResNet</t>
  </si>
  <si>
    <t>N/A</t>
  </si>
  <si>
    <t>Lost</t>
  </si>
  <si>
    <t>ResNet</t>
  </si>
  <si>
    <t>Heavy oscillations but stable, seemed to compensate for the watter bottle</t>
  </si>
  <si>
    <t>run_no</t>
  </si>
  <si>
    <t>LOST</t>
  </si>
  <si>
    <t>Tracking Error RMS</t>
  </si>
  <si>
    <t>Control Effort RMS</t>
  </si>
  <si>
    <t>-</t>
  </si>
  <si>
    <t>IntegratedResNet (Developed)</t>
  </si>
  <si>
    <t>NoResNet (Baseline)</t>
  </si>
  <si>
    <t>Date</t>
  </si>
  <si>
    <t>Baseline</t>
  </si>
  <si>
    <t>Cristian gains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</si>
</sst>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14" fontId="0" fillId="0" borderId="0" xfId="0" applyNumberFormat="1"/>
    <xf numFmtId="16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1"/>
  <sheetViews>
    <sheetView tabSelected="1" workbookViewId="0">
      <selection activeCell="E14" sqref="E14:F14"/>
    </sheetView>
  </sheetViews>
  <sheetFormatPr baseColWidth="10" defaultColWidth="12.6640625" defaultRowHeight="15.75" customHeight="1" x14ac:dyDescent="0.15"/>
  <cols>
    <col min="1" max="1" width="25" bestFit="1" customWidth="1"/>
    <col min="2" max="2" width="14.1640625" customWidth="1"/>
    <col min="3" max="5" width="5.1640625" bestFit="1" customWidth="1"/>
    <col min="6" max="6" width="6.1640625" customWidth="1"/>
    <col min="7" max="7" width="7.6640625" customWidth="1"/>
    <col min="8" max="8" width="4.6640625" bestFit="1" customWidth="1"/>
    <col min="13" max="13" width="15" customWidth="1"/>
    <col min="14" max="14" width="14.33203125" customWidth="1"/>
    <col min="16" max="16" width="55.1640625" customWidth="1"/>
  </cols>
  <sheetData>
    <row r="1" spans="1:16" ht="15.75" customHeight="1" x14ac:dyDescent="0.15">
      <c r="A1" s="1" t="s">
        <v>0</v>
      </c>
      <c r="B1" s="3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19</v>
      </c>
      <c r="N1" s="1" t="s">
        <v>20</v>
      </c>
      <c r="O1" s="1" t="s">
        <v>24</v>
      </c>
      <c r="P1" s="1" t="s">
        <v>11</v>
      </c>
    </row>
    <row r="2" spans="1:16" ht="15.75" customHeight="1" x14ac:dyDescent="0.15">
      <c r="A2" s="1" t="s">
        <v>12</v>
      </c>
      <c r="B2" s="1">
        <v>1</v>
      </c>
      <c r="C2" s="1">
        <v>0.72</v>
      </c>
      <c r="D2" s="1">
        <v>0.11</v>
      </c>
      <c r="E2" s="1">
        <v>2.4</v>
      </c>
      <c r="F2" s="2">
        <f t="shared" ref="F2:F10" si="0">C2*D2+D2*E2+C2*E2+1</f>
        <v>3.0712000000000002</v>
      </c>
      <c r="G2" s="2">
        <f t="shared" ref="G2:G10" si="1">C2*D2*E2+C2</f>
        <v>0.91008</v>
      </c>
      <c r="H2" s="2">
        <f t="shared" ref="H2:H10" si="2">C2+D2+E2</f>
        <v>3.23</v>
      </c>
      <c r="I2" s="1">
        <v>0.5</v>
      </c>
      <c r="J2" s="1">
        <v>10</v>
      </c>
      <c r="K2" s="1">
        <v>3</v>
      </c>
      <c r="L2" s="1">
        <v>41.2761</v>
      </c>
      <c r="M2" s="1">
        <v>0.109</v>
      </c>
      <c r="N2" s="1">
        <v>1.5347</v>
      </c>
      <c r="O2" s="5">
        <v>46217</v>
      </c>
    </row>
    <row r="3" spans="1:16" ht="15.75" customHeight="1" x14ac:dyDescent="0.15">
      <c r="A3" s="1" t="s">
        <v>12</v>
      </c>
      <c r="B3" s="1">
        <v>2</v>
      </c>
      <c r="C3" s="1">
        <v>0.72</v>
      </c>
      <c r="D3" s="1">
        <v>0.11</v>
      </c>
      <c r="E3" s="1">
        <v>2.4</v>
      </c>
      <c r="F3" s="2">
        <f t="shared" si="0"/>
        <v>3.0712000000000002</v>
      </c>
      <c r="G3" s="2">
        <f t="shared" si="1"/>
        <v>0.91008</v>
      </c>
      <c r="H3" s="2">
        <f t="shared" si="2"/>
        <v>3.23</v>
      </c>
      <c r="I3" s="1">
        <v>0.5</v>
      </c>
      <c r="J3" s="1">
        <v>15</v>
      </c>
      <c r="K3" s="1">
        <v>3</v>
      </c>
      <c r="L3" s="1">
        <v>36.36</v>
      </c>
      <c r="M3" s="1">
        <v>0.11550000000000001</v>
      </c>
      <c r="N3" s="1">
        <v>1.3765000000000001</v>
      </c>
      <c r="O3" s="5">
        <v>46217</v>
      </c>
    </row>
    <row r="4" spans="1:16" ht="15.75" customHeight="1" x14ac:dyDescent="0.15">
      <c r="A4" s="1" t="s">
        <v>25</v>
      </c>
      <c r="B4" s="3" t="s">
        <v>18</v>
      </c>
      <c r="C4" s="1">
        <v>0.72</v>
      </c>
      <c r="D4" s="1">
        <v>0.11</v>
      </c>
      <c r="E4" s="1">
        <v>2.4</v>
      </c>
      <c r="F4" s="2">
        <f t="shared" si="0"/>
        <v>3.0712000000000002</v>
      </c>
      <c r="G4" s="2">
        <f t="shared" si="1"/>
        <v>0.91008</v>
      </c>
      <c r="H4" s="2">
        <f t="shared" si="2"/>
        <v>3.23</v>
      </c>
      <c r="I4" s="1">
        <v>0.5</v>
      </c>
      <c r="J4" s="1" t="s">
        <v>13</v>
      </c>
      <c r="K4" s="1" t="s">
        <v>13</v>
      </c>
      <c r="L4" s="1">
        <v>54.294499999999999</v>
      </c>
      <c r="M4" s="1">
        <v>0.13400000000000001</v>
      </c>
      <c r="N4" s="1" t="s">
        <v>14</v>
      </c>
      <c r="O4" s="5">
        <v>46217</v>
      </c>
    </row>
    <row r="5" spans="1:16" ht="15.75" customHeight="1" x14ac:dyDescent="0.15">
      <c r="A5" s="1" t="s">
        <v>25</v>
      </c>
      <c r="B5" s="1">
        <v>2</v>
      </c>
      <c r="C5" s="1">
        <v>0.25</v>
      </c>
      <c r="D5" s="1">
        <v>1.3</v>
      </c>
      <c r="E5" s="1">
        <v>2.9</v>
      </c>
      <c r="F5" s="2">
        <f t="shared" si="0"/>
        <v>5.8199999999999994</v>
      </c>
      <c r="G5" s="2">
        <f t="shared" si="1"/>
        <v>1.1924999999999999</v>
      </c>
      <c r="H5" s="2">
        <f t="shared" si="2"/>
        <v>4.45</v>
      </c>
      <c r="I5" s="1">
        <v>0.01</v>
      </c>
      <c r="J5" s="1" t="s">
        <v>13</v>
      </c>
      <c r="K5" s="1" t="s">
        <v>13</v>
      </c>
      <c r="L5" s="1">
        <v>67</v>
      </c>
      <c r="M5" s="1">
        <v>0.1414</v>
      </c>
      <c r="N5" s="1">
        <v>2.11</v>
      </c>
      <c r="O5" s="5">
        <v>46217</v>
      </c>
    </row>
    <row r="6" spans="1:16" ht="15.75" customHeight="1" x14ac:dyDescent="0.15">
      <c r="A6" s="1" t="s">
        <v>25</v>
      </c>
      <c r="B6" s="1">
        <v>1</v>
      </c>
      <c r="C6" s="1">
        <v>0.72</v>
      </c>
      <c r="D6" s="1">
        <v>0.11</v>
      </c>
      <c r="E6" s="1">
        <v>2.4</v>
      </c>
      <c r="F6" s="2">
        <f t="shared" si="0"/>
        <v>3.0712000000000002</v>
      </c>
      <c r="G6" s="2">
        <f t="shared" si="1"/>
        <v>0.91008</v>
      </c>
      <c r="H6" s="2">
        <f t="shared" si="2"/>
        <v>3.23</v>
      </c>
      <c r="I6" s="1">
        <v>0.5</v>
      </c>
      <c r="J6" s="1" t="s">
        <v>13</v>
      </c>
      <c r="K6" s="1" t="s">
        <v>13</v>
      </c>
      <c r="L6" s="1">
        <v>60.08</v>
      </c>
      <c r="M6" s="1">
        <v>0.14319999999999999</v>
      </c>
      <c r="N6" s="1">
        <v>1.8535999999999999</v>
      </c>
      <c r="O6" s="5">
        <v>46217</v>
      </c>
    </row>
    <row r="7" spans="1:16" ht="15.75" customHeight="1" x14ac:dyDescent="0.15">
      <c r="A7" s="1" t="s">
        <v>15</v>
      </c>
      <c r="B7" s="1">
        <v>1</v>
      </c>
      <c r="C7" s="1">
        <v>0.72</v>
      </c>
      <c r="D7" s="1">
        <v>0.11</v>
      </c>
      <c r="E7" s="1">
        <v>2.4</v>
      </c>
      <c r="F7" s="2">
        <f t="shared" si="0"/>
        <v>3.0712000000000002</v>
      </c>
      <c r="G7" s="2">
        <f t="shared" si="1"/>
        <v>0.91008</v>
      </c>
      <c r="H7" s="2">
        <f t="shared" si="2"/>
        <v>3.23</v>
      </c>
      <c r="I7" s="1">
        <v>0.5</v>
      </c>
      <c r="J7" s="1">
        <v>10</v>
      </c>
      <c r="K7" s="1">
        <v>1</v>
      </c>
      <c r="L7" s="1">
        <v>56.252499999999998</v>
      </c>
      <c r="M7" s="1">
        <v>8.7099999999999997E-2</v>
      </c>
      <c r="N7" s="1">
        <v>1.9803999999999999</v>
      </c>
      <c r="O7" s="5">
        <v>46217</v>
      </c>
      <c r="P7" s="1" t="s">
        <v>16</v>
      </c>
    </row>
    <row r="8" spans="1:16" ht="15.75" customHeight="1" x14ac:dyDescent="0.15">
      <c r="A8" s="1" t="s">
        <v>15</v>
      </c>
      <c r="B8" s="1">
        <v>3</v>
      </c>
      <c r="C8" s="1">
        <v>0.72</v>
      </c>
      <c r="D8" s="1">
        <v>0.11</v>
      </c>
      <c r="E8" s="1">
        <v>2.4</v>
      </c>
      <c r="F8" s="2">
        <f t="shared" si="0"/>
        <v>3.0712000000000002</v>
      </c>
      <c r="G8" s="2">
        <f t="shared" si="1"/>
        <v>0.91008</v>
      </c>
      <c r="H8" s="2">
        <f t="shared" si="2"/>
        <v>3.23</v>
      </c>
      <c r="I8" s="1">
        <v>0.5</v>
      </c>
      <c r="J8" s="1">
        <v>7</v>
      </c>
      <c r="K8" s="1">
        <v>1</v>
      </c>
      <c r="L8" s="1">
        <v>48.6</v>
      </c>
      <c r="M8" s="1">
        <v>9.0399999999999994E-2</v>
      </c>
      <c r="N8" s="1">
        <v>1.8149999999999999</v>
      </c>
      <c r="O8" s="5">
        <v>46217</v>
      </c>
    </row>
    <row r="9" spans="1:16" ht="15.75" customHeight="1" x14ac:dyDescent="0.15">
      <c r="A9" s="1" t="s">
        <v>15</v>
      </c>
      <c r="B9" s="1">
        <v>2</v>
      </c>
      <c r="C9" s="1">
        <v>0.72</v>
      </c>
      <c r="D9" s="1">
        <v>0.11</v>
      </c>
      <c r="E9" s="1">
        <v>2.4</v>
      </c>
      <c r="F9" s="2">
        <f t="shared" si="0"/>
        <v>3.0712000000000002</v>
      </c>
      <c r="G9" s="2">
        <f t="shared" si="1"/>
        <v>0.91008</v>
      </c>
      <c r="H9" s="2">
        <f t="shared" si="2"/>
        <v>3.23</v>
      </c>
      <c r="I9" s="1">
        <v>0.5</v>
      </c>
      <c r="J9" s="1">
        <v>10</v>
      </c>
      <c r="K9" s="1">
        <v>1</v>
      </c>
      <c r="L9" s="1">
        <v>61.5</v>
      </c>
      <c r="M9" s="1">
        <v>8.5199999999999998E-2</v>
      </c>
      <c r="N9" s="1">
        <v>2.0699999999999998</v>
      </c>
      <c r="O9" s="5">
        <v>46217</v>
      </c>
    </row>
    <row r="10" spans="1:16" s="7" customFormat="1" ht="15.75" customHeight="1" x14ac:dyDescent="0.15"/>
    <row r="11" spans="1:16" ht="15.75" customHeight="1" x14ac:dyDescent="0.15">
      <c r="A11" s="1" t="s">
        <v>25</v>
      </c>
      <c r="B11" s="1">
        <v>1</v>
      </c>
      <c r="C11" s="1">
        <v>1</v>
      </c>
      <c r="D11" s="1">
        <v>2.5</v>
      </c>
      <c r="E11" s="1">
        <v>1.75</v>
      </c>
      <c r="F11" s="2">
        <f>C11*D11+D11*E11+C11*E11+1</f>
        <v>9.625</v>
      </c>
      <c r="G11" s="2">
        <f>C11*D11*E11+C11</f>
        <v>5.375</v>
      </c>
      <c r="H11" s="2">
        <f>C11+D11+E11</f>
        <v>5.25</v>
      </c>
      <c r="P11" s="4" t="s">
        <v>26</v>
      </c>
    </row>
    <row r="12" spans="1:16" ht="15.75" customHeight="1" x14ac:dyDescent="0.15">
      <c r="F12" s="2"/>
      <c r="G12" s="2"/>
      <c r="H12" s="2"/>
    </row>
    <row r="13" spans="1:16" ht="15.75" customHeight="1" x14ac:dyDescent="0.15">
      <c r="F13" s="2"/>
      <c r="G13" s="2"/>
      <c r="H13" s="2"/>
    </row>
    <row r="14" spans="1:16" ht="15.75" customHeight="1" x14ac:dyDescent="0.15">
      <c r="F14" s="2"/>
      <c r="G14" s="2"/>
      <c r="H14" s="2"/>
    </row>
    <row r="15" spans="1:16" ht="15.75" customHeight="1" x14ac:dyDescent="0.15">
      <c r="F15" s="2"/>
      <c r="G15" s="2"/>
      <c r="H15" s="2"/>
    </row>
    <row r="16" spans="1:16" ht="15.75" customHeight="1" x14ac:dyDescent="0.15">
      <c r="F16" s="2"/>
      <c r="G16" s="2"/>
      <c r="H16" s="2"/>
    </row>
    <row r="17" spans="6:8" ht="15.75" customHeight="1" x14ac:dyDescent="0.15">
      <c r="F17" s="2"/>
      <c r="G17" s="2"/>
      <c r="H17" s="2"/>
    </row>
    <row r="18" spans="6:8" ht="15.75" customHeight="1" x14ac:dyDescent="0.15">
      <c r="F18" s="2"/>
      <c r="G18" s="2"/>
      <c r="H18" s="2"/>
    </row>
    <row r="19" spans="6:8" ht="15.75" customHeight="1" x14ac:dyDescent="0.15">
      <c r="F19" s="2"/>
      <c r="G19" s="2"/>
      <c r="H19" s="2"/>
    </row>
    <row r="20" spans="6:8" ht="15.75" customHeight="1" x14ac:dyDescent="0.15">
      <c r="F20" s="2"/>
      <c r="G20" s="2"/>
      <c r="H20" s="2"/>
    </row>
    <row r="21" spans="6:8" ht="15.75" customHeight="1" x14ac:dyDescent="0.15">
      <c r="F21" s="2"/>
      <c r="G21" s="2"/>
      <c r="H21" s="2"/>
    </row>
    <row r="22" spans="6:8" ht="15.75" customHeight="1" x14ac:dyDescent="0.15">
      <c r="F22" s="2"/>
      <c r="G22" s="2"/>
      <c r="H22" s="2"/>
    </row>
    <row r="23" spans="6:8" ht="15.75" customHeight="1" x14ac:dyDescent="0.15">
      <c r="F23" s="2"/>
      <c r="G23" s="2"/>
      <c r="H23" s="2"/>
    </row>
    <row r="24" spans="6:8" ht="15.75" customHeight="1" x14ac:dyDescent="0.15">
      <c r="F24" s="2"/>
      <c r="G24" s="2"/>
      <c r="H24" s="2"/>
    </row>
    <row r="25" spans="6:8" ht="15.75" customHeight="1" x14ac:dyDescent="0.15">
      <c r="F25" s="2"/>
      <c r="G25" s="2"/>
      <c r="H25" s="2"/>
    </row>
    <row r="26" spans="6:8" ht="15.75" customHeight="1" x14ac:dyDescent="0.15">
      <c r="F26" s="2"/>
      <c r="G26" s="2"/>
      <c r="H26" s="2"/>
    </row>
    <row r="27" spans="6:8" ht="15.75" customHeight="1" x14ac:dyDescent="0.15">
      <c r="F27" s="2"/>
      <c r="G27" s="2"/>
      <c r="H27" s="2"/>
    </row>
    <row r="28" spans="6:8" ht="15.75" customHeight="1" x14ac:dyDescent="0.15">
      <c r="F28" s="2"/>
      <c r="G28" s="2"/>
      <c r="H28" s="2"/>
    </row>
    <row r="29" spans="6:8" ht="15.75" customHeight="1" x14ac:dyDescent="0.15">
      <c r="F29" s="2"/>
      <c r="G29" s="2"/>
      <c r="H29" s="2"/>
    </row>
    <row r="30" spans="6:8" ht="15.75" customHeight="1" x14ac:dyDescent="0.15">
      <c r="F30" s="2"/>
      <c r="G30" s="2"/>
      <c r="H30" s="2"/>
    </row>
    <row r="31" spans="6:8" ht="15.75" customHeight="1" x14ac:dyDescent="0.15">
      <c r="F31" s="2"/>
      <c r="G31" s="2"/>
      <c r="H31" s="2"/>
    </row>
    <row r="32" spans="6:8" ht="15.75" customHeight="1" x14ac:dyDescent="0.15">
      <c r="F32" s="2"/>
      <c r="G32" s="2"/>
      <c r="H32" s="2"/>
    </row>
    <row r="33" spans="6:8" ht="15.75" customHeight="1" x14ac:dyDescent="0.15">
      <c r="F33" s="2"/>
      <c r="G33" s="2"/>
      <c r="H33" s="2"/>
    </row>
    <row r="34" spans="6:8" ht="15.75" customHeight="1" x14ac:dyDescent="0.15">
      <c r="F34" s="2"/>
      <c r="G34" s="2"/>
      <c r="H34" s="2"/>
    </row>
    <row r="35" spans="6:8" ht="15.75" customHeight="1" x14ac:dyDescent="0.15">
      <c r="F35" s="2"/>
      <c r="G35" s="2"/>
      <c r="H35" s="2"/>
    </row>
    <row r="36" spans="6:8" ht="15.75" customHeight="1" x14ac:dyDescent="0.15">
      <c r="F36" s="2"/>
      <c r="G36" s="2"/>
      <c r="H36" s="2"/>
    </row>
    <row r="37" spans="6:8" ht="15.75" customHeight="1" x14ac:dyDescent="0.15">
      <c r="F37" s="2"/>
      <c r="G37" s="2"/>
      <c r="H37" s="2"/>
    </row>
    <row r="38" spans="6:8" ht="15.75" customHeight="1" x14ac:dyDescent="0.15">
      <c r="F38" s="2"/>
      <c r="G38" s="2"/>
      <c r="H38" s="2"/>
    </row>
    <row r="39" spans="6:8" ht="15.75" customHeight="1" x14ac:dyDescent="0.15">
      <c r="F39" s="2"/>
      <c r="G39" s="2"/>
      <c r="H39" s="2"/>
    </row>
    <row r="40" spans="6:8" ht="15.75" customHeight="1" x14ac:dyDescent="0.15">
      <c r="F40" s="2"/>
      <c r="G40" s="2"/>
      <c r="H40" s="2"/>
    </row>
    <row r="41" spans="6:8" ht="15.75" customHeight="1" x14ac:dyDescent="0.15">
      <c r="F41" s="2"/>
      <c r="G41" s="2"/>
      <c r="H4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01CB-0E61-0544-B3B1-F07FB7C13439}">
  <dimension ref="A1:P10"/>
  <sheetViews>
    <sheetView workbookViewId="0">
      <selection activeCell="A16" sqref="A16"/>
    </sheetView>
  </sheetViews>
  <sheetFormatPr baseColWidth="10" defaultRowHeight="13" x14ac:dyDescent="0.15"/>
  <sheetData>
    <row r="1" spans="1:16" x14ac:dyDescent="0.15">
      <c r="A1" s="6">
        <v>46217</v>
      </c>
    </row>
    <row r="2" spans="1:16" x14ac:dyDescent="0.15">
      <c r="A2" s="4" t="s">
        <v>0</v>
      </c>
      <c r="B2" s="4" t="s">
        <v>19</v>
      </c>
      <c r="C2" s="4" t="s">
        <v>20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15">
      <c r="A3" s="4" t="s">
        <v>22</v>
      </c>
      <c r="B3" s="4">
        <v>0.109</v>
      </c>
      <c r="C3" s="4">
        <v>1.5347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spans="1:16" x14ac:dyDescent="0.15">
      <c r="A4" s="4" t="s">
        <v>22</v>
      </c>
      <c r="B4" s="4">
        <v>0.11550000000000001</v>
      </c>
      <c r="C4" s="4">
        <v>1.3765000000000001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spans="1:16" x14ac:dyDescent="0.15">
      <c r="A5" s="4" t="s">
        <v>23</v>
      </c>
      <c r="B5" s="4">
        <v>0.13400000000000001</v>
      </c>
      <c r="C5" s="4" t="s">
        <v>21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spans="1:16" x14ac:dyDescent="0.15">
      <c r="A6" s="4" t="s">
        <v>23</v>
      </c>
      <c r="B6" s="4">
        <v>0.1414</v>
      </c>
      <c r="C6" s="4">
        <v>2.11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spans="1:16" x14ac:dyDescent="0.15">
      <c r="A7" s="4" t="s">
        <v>23</v>
      </c>
      <c r="B7" s="4">
        <v>0.14319999999999999</v>
      </c>
      <c r="C7" s="4">
        <v>1.8535999999999999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spans="1:16" x14ac:dyDescent="0.15">
      <c r="A8" s="4" t="s">
        <v>15</v>
      </c>
      <c r="B8" s="4">
        <v>8.7099999999999997E-2</v>
      </c>
      <c r="C8" s="4">
        <v>1.9803999999999999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16" x14ac:dyDescent="0.15">
      <c r="A9" s="4" t="s">
        <v>15</v>
      </c>
      <c r="B9" s="4">
        <v>9.0399999999999994E-2</v>
      </c>
      <c r="C9" s="4">
        <v>1.8149999999999999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16" x14ac:dyDescent="0.15">
      <c r="A10" s="4" t="s">
        <v>15</v>
      </c>
      <c r="B10" s="4">
        <v>8.5199999999999998E-2</v>
      </c>
      <c r="C10" s="4">
        <v>2.0699999999999998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July 14</vt:lpstr>
      <vt:lpstr>Summaries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Gardenswartz, Max L.</cp:lastModifiedBy>
  <dcterms:modified xsi:type="dcterms:W3CDTF">2026-07-20T16:43:32Z</dcterms:modified>
</cp:coreProperties>
</file>