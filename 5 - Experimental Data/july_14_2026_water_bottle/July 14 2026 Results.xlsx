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x/Desktop/"/>
    </mc:Choice>
  </mc:AlternateContent>
  <xr:revisionPtr revIDLastSave="0" documentId="13_ncr:1_{A36BA0E8-391C-DA42-A553-50C4BC1819BB}" xr6:coauthVersionLast="47" xr6:coauthVersionMax="47" xr10:uidLastSave="{00000000-0000-0000-0000-000000000000}"/>
  <bookViews>
    <workbookView xWindow="0" yWindow="780" windowWidth="18020" windowHeight="20880" xr2:uid="{00000000-000D-0000-FFFF-FFFF00000000}"/>
  </bookViews>
  <sheets>
    <sheet name="Controls Experim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<sst xmlns="http://schemas.openxmlformats.org/spreadsheetml/2006/main" count="32" uniqueCount="22">
  <si>
    <t>Controller</t>
  </si>
  <si>
    <t>k_1</t>
  </si>
  <si>
    <t>k_2</t>
  </si>
  <si>
    <t>k_3</t>
  </si>
  <si>
    <t>K_P</t>
  </si>
  <si>
    <t>K_I</t>
  </si>
  <si>
    <t>K_D</t>
  </si>
  <si>
    <t>k_rise</t>
  </si>
  <si>
    <t>gamma</t>
  </si>
  <si>
    <t>sigma_mod</t>
  </si>
  <si>
    <t>cost</t>
  </si>
  <si>
    <t>tracking error RMS</t>
  </si>
  <si>
    <t>control effort RMS</t>
  </si>
  <si>
    <t>Notes</t>
  </si>
  <si>
    <t>IntegratedResNet</t>
  </si>
  <si>
    <t>NoResNet</t>
  </si>
  <si>
    <t>N/A</t>
  </si>
  <si>
    <t>Lost</t>
  </si>
  <si>
    <t>ResNet</t>
  </si>
  <si>
    <t>Heavy oscillations but stable, seemed to compensate for the watter bottle</t>
  </si>
  <si>
    <t>run_no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</si>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</sst>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"/>
  <sheetViews>
    <sheetView tabSelected="1" workbookViewId="0">
      <selection activeCell="A10" sqref="A10"/>
    </sheetView>
  </sheetViews>
  <sheetFormatPr baseColWidth="10" defaultColWidth="12.6640625" defaultRowHeight="15.75" customHeight="1" x14ac:dyDescent="0.15"/>
  <cols>
    <col min="1" max="2" width="14.1640625" customWidth="1"/>
    <col min="3" max="4" width="4.1640625" customWidth="1"/>
    <col min="5" max="5" width="3.6640625" customWidth="1"/>
    <col min="6" max="6" width="6.1640625" customWidth="1"/>
    <col min="7" max="7" width="7.6640625" customWidth="1"/>
    <col min="8" max="8" width="4.6640625" bestFit="1" customWidth="1"/>
    <col min="13" max="13" width="15" customWidth="1"/>
    <col min="14" max="14" width="14.33203125" customWidth="1"/>
    <col min="15" max="15" width="55.1640625" customWidth="1"/>
  </cols>
  <sheetData>
    <row r="1" spans="1:15" ht="15.75" customHeight="1" x14ac:dyDescent="0.15">
      <c r="A1" s="1" t="s">
        <v>0</v>
      </c>
      <c r="B1" s="3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customHeight="1" x14ac:dyDescent="0.15">
      <c r="A2" s="1" t="s">
        <v>14</v>
      </c>
      <c r="B2" s="1">
        <v>1</v>
      </c>
      <c r="C2" s="1">
        <v>0.72</v>
      </c>
      <c r="D2" s="1">
        <v>0.11</v>
      </c>
      <c r="E2" s="1">
        <v>2.4</v>
      </c>
      <c r="F2" s="2">
        <f t="shared" ref="F2:F9" si="0">C2*D2+D2*E2+C2*E2+1</f>
        <v>3.0712000000000002</v>
      </c>
      <c r="G2" s="2">
        <f t="shared" ref="G2:G9" si="1">C2*D2*E2+C2</f>
        <v>0.91008</v>
      </c>
      <c r="H2" s="2">
        <f t="shared" ref="H2:H9" si="2">C2+D2+E2</f>
        <v>3.23</v>
      </c>
      <c r="I2" s="1">
        <v>0.5</v>
      </c>
      <c r="J2" s="1">
        <v>10</v>
      </c>
      <c r="K2" s="1">
        <v>3</v>
      </c>
      <c r="L2" s="1">
        <v>41.2761</v>
      </c>
      <c r="M2" s="1">
        <v>0.109</v>
      </c>
      <c r="N2" s="1">
        <v>1.5347</v>
      </c>
    </row>
    <row r="3" spans="1:15" ht="15.75" customHeight="1" x14ac:dyDescent="0.15">
      <c r="A3" s="1" t="s">
        <v>14</v>
      </c>
      <c r="B3" s="1">
        <v>2</v>
      </c>
      <c r="C3" s="1">
        <v>0.72</v>
      </c>
      <c r="D3" s="1">
        <v>0.11</v>
      </c>
      <c r="E3" s="1">
        <v>2.4</v>
      </c>
      <c r="F3" s="2">
        <f t="shared" si="0"/>
        <v>3.0712000000000002</v>
      </c>
      <c r="G3" s="2">
        <f t="shared" si="1"/>
        <v>0.91008</v>
      </c>
      <c r="H3" s="2">
        <f t="shared" si="2"/>
        <v>3.23</v>
      </c>
      <c r="I3" s="1">
        <v>0.5</v>
      </c>
      <c r="J3" s="1">
        <v>15</v>
      </c>
      <c r="K3" s="1">
        <v>3</v>
      </c>
      <c r="L3" s="1">
        <v>36.36</v>
      </c>
      <c r="M3" s="1">
        <v>0.11550000000000001</v>
      </c>
      <c r="N3" s="1">
        <v>1.3765000000000001</v>
      </c>
    </row>
    <row r="4" spans="1:15" ht="15.75" customHeight="1" x14ac:dyDescent="0.15">
      <c r="A4" s="1" t="s">
        <v>15</v>
      </c>
      <c r="B4" s="3" t="s">
        <v>21</v>
      </c>
      <c r="C4" s="1">
        <v>0.72</v>
      </c>
      <c r="D4" s="1">
        <v>0.11</v>
      </c>
      <c r="E4" s="1">
        <v>2.4</v>
      </c>
      <c r="F4" s="2">
        <f t="shared" si="0"/>
        <v>3.0712000000000002</v>
      </c>
      <c r="G4" s="2">
        <f t="shared" si="1"/>
        <v>0.91008</v>
      </c>
      <c r="H4" s="2">
        <f t="shared" si="2"/>
        <v>3.23</v>
      </c>
      <c r="I4" s="1">
        <v>0.5</v>
      </c>
      <c r="J4" s="1" t="s">
        <v>16</v>
      </c>
      <c r="K4" s="1" t="s">
        <v>16</v>
      </c>
      <c r="L4" s="1">
        <v>54.294499999999999</v>
      </c>
      <c r="M4" s="1">
        <v>0.13400000000000001</v>
      </c>
      <c r="N4" s="1" t="s">
        <v>17</v>
      </c>
    </row>
    <row r="5" spans="1:15" ht="15.75" customHeight="1" x14ac:dyDescent="0.15">
      <c r="A5" s="1" t="s">
        <v>15</v>
      </c>
      <c r="B5" s="1">
        <v>2</v>
      </c>
      <c r="C5" s="1">
        <v>0.25</v>
      </c>
      <c r="D5" s="1">
        <v>1.3</v>
      </c>
      <c r="E5" s="1">
        <v>2.9</v>
      </c>
      <c r="F5" s="2">
        <f t="shared" si="0"/>
        <v>5.8199999999999994</v>
      </c>
      <c r="G5" s="2">
        <f t="shared" si="1"/>
        <v>1.1924999999999999</v>
      </c>
      <c r="H5" s="2">
        <f t="shared" si="2"/>
        <v>4.45</v>
      </c>
      <c r="I5" s="1">
        <v>0.01</v>
      </c>
      <c r="J5" s="1" t="s">
        <v>16</v>
      </c>
      <c r="K5" s="1" t="s">
        <v>16</v>
      </c>
      <c r="L5" s="1">
        <v>67</v>
      </c>
      <c r="M5" s="1">
        <v>0.1414</v>
      </c>
      <c r="N5" s="1">
        <v>2.11</v>
      </c>
    </row>
    <row r="6" spans="1:15" ht="15.75" customHeight="1" x14ac:dyDescent="0.15">
      <c r="A6" s="1" t="s">
        <v>15</v>
      </c>
      <c r="B6" s="1">
        <v>1</v>
      </c>
      <c r="C6" s="1">
        <v>0.72</v>
      </c>
      <c r="D6" s="1">
        <v>0.11</v>
      </c>
      <c r="E6" s="1">
        <v>2.4</v>
      </c>
      <c r="F6" s="2">
        <f t="shared" si="0"/>
        <v>3.0712000000000002</v>
      </c>
      <c r="G6" s="2">
        <f t="shared" si="1"/>
        <v>0.91008</v>
      </c>
      <c r="H6" s="2">
        <f t="shared" si="2"/>
        <v>3.23</v>
      </c>
      <c r="I6" s="1">
        <v>0.5</v>
      </c>
      <c r="J6" s="1" t="s">
        <v>16</v>
      </c>
      <c r="K6" s="1" t="s">
        <v>16</v>
      </c>
      <c r="L6" s="1">
        <v>60.08</v>
      </c>
      <c r="M6" s="1">
        <v>0.14319999999999999</v>
      </c>
      <c r="N6" s="1">
        <v>1.8535999999999999</v>
      </c>
    </row>
    <row r="7" spans="1:15" ht="15.75" customHeight="1" x14ac:dyDescent="0.15">
      <c r="A7" s="1" t="s">
        <v>18</v>
      </c>
      <c r="B7" s="1">
        <v>1</v>
      </c>
      <c r="C7" s="1">
        <v>0.72</v>
      </c>
      <c r="D7" s="1">
        <v>0.11</v>
      </c>
      <c r="E7" s="1">
        <v>2.4</v>
      </c>
      <c r="F7" s="2">
        <f t="shared" si="0"/>
        <v>3.0712000000000002</v>
      </c>
      <c r="G7" s="2">
        <f t="shared" si="1"/>
        <v>0.91008</v>
      </c>
      <c r="H7" s="2">
        <f t="shared" si="2"/>
        <v>3.23</v>
      </c>
      <c r="I7" s="1">
        <v>0.5</v>
      </c>
      <c r="J7" s="1">
        <v>10</v>
      </c>
      <c r="K7" s="1">
        <v>1</v>
      </c>
      <c r="L7" s="1">
        <v>56.252499999999998</v>
      </c>
      <c r="M7" s="1">
        <v>8.7099999999999997E-2</v>
      </c>
      <c r="N7" s="1">
        <v>1.9803999999999999</v>
      </c>
      <c r="O7" s="1" t="s">
        <v>19</v>
      </c>
    </row>
    <row r="8" spans="1:15" ht="15.75" customHeight="1" x14ac:dyDescent="0.15">
      <c r="A8" s="1" t="s">
        <v>18</v>
      </c>
      <c r="B8" s="1">
        <v>3</v>
      </c>
      <c r="C8" s="1">
        <v>0.72</v>
      </c>
      <c r="D8" s="1">
        <v>0.11</v>
      </c>
      <c r="E8" s="1">
        <v>2.4</v>
      </c>
      <c r="F8" s="2">
        <f t="shared" si="0"/>
        <v>3.0712000000000002</v>
      </c>
      <c r="G8" s="2">
        <f t="shared" si="1"/>
        <v>0.91008</v>
      </c>
      <c r="H8" s="2">
        <f t="shared" si="2"/>
        <v>3.23</v>
      </c>
      <c r="I8" s="1">
        <v>0.5</v>
      </c>
      <c r="J8" s="1">
        <v>7</v>
      </c>
      <c r="K8" s="1">
        <v>1</v>
      </c>
      <c r="L8" s="1">
        <v>48.6</v>
      </c>
      <c r="M8" s="1">
        <v>9.0399999999999994E-2</v>
      </c>
      <c r="N8" s="1">
        <v>1.8149999999999999</v>
      </c>
    </row>
    <row r="9" spans="1:15" ht="15.75" customHeight="1" x14ac:dyDescent="0.15">
      <c r="A9" s="1" t="s">
        <v>18</v>
      </c>
      <c r="B9" s="1">
        <v>2</v>
      </c>
      <c r="C9" s="1">
        <v>0.72</v>
      </c>
      <c r="D9" s="1">
        <v>0.11</v>
      </c>
      <c r="E9" s="1">
        <v>2.4</v>
      </c>
      <c r="F9" s="2">
        <f t="shared" si="0"/>
        <v>3.0712000000000002</v>
      </c>
      <c r="G9" s="2">
        <f t="shared" si="1"/>
        <v>0.91008</v>
      </c>
      <c r="H9" s="2">
        <f t="shared" si="2"/>
        <v>3.23</v>
      </c>
      <c r="I9" s="1">
        <v>0.5</v>
      </c>
      <c r="J9" s="1">
        <v>10</v>
      </c>
      <c r="K9" s="1">
        <v>1</v>
      </c>
      <c r="L9" s="1">
        <v>61.5</v>
      </c>
      <c r="M9" s="1">
        <v>8.5199999999999998E-2</v>
      </c>
      <c r="N9" s="1">
        <v>2.0699999999999998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 Experiment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Gardenswartz, Max L.</cp:lastModifiedBy>
  <dcterms:modified xsi:type="dcterms:W3CDTF">2026-07-15T03:28:10Z</dcterms:modified>
</cp:coreProperties>
</file>